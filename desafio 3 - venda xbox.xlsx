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elo Fratini\Desktop\Excel com IA Santander\"/>
    </mc:Choice>
  </mc:AlternateContent>
  <xr:revisionPtr revIDLastSave="0" documentId="13_ncr:1_{AB62A4E2-0719-4F4E-96F9-4E675AC964B5}" xr6:coauthVersionLast="47" xr6:coauthVersionMax="47" xr10:uidLastSave="{00000000-0000-0000-0000-000000000000}"/>
  <bookViews>
    <workbookView xWindow="-120" yWindow="-120" windowWidth="38640" windowHeight="21120" tabRatio="21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3" l="1"/>
  <c r="F26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<sst xmlns="http://schemas.openxmlformats.org/spreadsheetml/2006/main" count="2017" uniqueCount="319">
  <si>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</si>
  <si>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</si>
  <si>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</si>
  <si>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</si>
  <si>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</si>
  <si>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</si>
  <si>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</si>
  <si>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</si>
  <si>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</si>
  <si>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</si>
  <si>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</si>
  <si>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</si>
  <si>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</si>
  <si>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</si>
  <si>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</si>
  <si>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</si>
  <si>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</si>
  <si>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</si>
  <si>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</si>
  <si>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</si>
  <si>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</si>
  <si>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</si>
  <si>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</si>
  <si>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</si>
  <si>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</si>
  <si>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</si>
  <si>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</si>
  <si>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</si>
  <si>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</si>
  <si>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</si>
  <si>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</si>
  <si>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</si>
  <si>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</si>
  <si>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</si>
  <si>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</si>
  <si>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</si>
  <si>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</si>
  <si>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</si>
  <si>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</si>
  <si>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</si>
  <si>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</si>
  <si>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</si>
  <si>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</si>
  <si>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</si>
  <si>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</si>
  <si>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</si>
  <si>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</si>
  <si>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</si>
  <si>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</si>
  <si>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</si>
  <si>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</si>
  <si>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</si>
  <si>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</si>
  <si>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</si>
  <si>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</si>
  <si>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</si>
  <si>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</si>
  <si>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</si>
  <si>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</si>
  <si>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</si>
  <si>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</si>
  <si>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</si>
  <si>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</si>
  <si>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</si>
  <si>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</si>
  <si>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</si>
  <si>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</si>
  <si>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</si>
  <si>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</si>
  <si>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</si>
  <si>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</si>
  <si>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</si>
  <si>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</si>
  <si>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</si>
  <si>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</si>
  <si>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</si>
  <si>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</si>
  <si>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</si>
  <si>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</si>
  <si>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</si>
  <si>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</si>
  <si>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</si>
  <si>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</si>
  <si>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</si>
  <si>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</si>
  <si>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</si>
  <si>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</si>
  <si>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</si>
  <si>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</si>
  <si>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</si>
  <si>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</si>
  <si>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</si>
  <si>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</si>
  <si>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</si>
  <si>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</si>
  <si>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</si>
  <si>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</si>
  <si>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</si>
  <si>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</si>
  <si>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</si>
  <si>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</si>
  <si>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</si>
  <si>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</si>
  <si>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</si>
  <si>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</si>
  <si>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</si>
  <si>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</si>
  <si>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</si>
  <si>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</si>
  <si>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</si>
  <si>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</si>
  <si>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</si>
  <si>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</si>
  <si>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</si>
  <si>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</si>
  <si>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</si>
  <si>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</si>
  <si>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</si>
  <si>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</si>
  <si>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</si>
  <si>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</si>
  <si>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</si>
  <si>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</si>
  <si>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</si>
  <si>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</si>
  <si>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</si>
  <si>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</si>
  <si>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</si>
  <si>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</si>
  <si>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</si>
  <si>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</si>
  <si>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</si>
  <si>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</si>
  <si>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</si>
  <si>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</si>
  <si>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</si>
  <si>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</si>
  <si>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</si>
  <si>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</si>
  <si>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</si>
  <si>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</si>
  <si>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</si>
  <si>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</si>
  <si>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</si>
  <si>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</si>
  <si>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</si>
  <si>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</si>
  <si>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</si>
  <si>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</si>
  <si>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</si>
  <si>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</si>
  <si>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</si>
  <si>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</si>
  <si>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</si>
  <si>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</si>
  <si>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</si>
  <si>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</si>
  <si>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</si>
  <si>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</si>
  <si>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</si>
  <si>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</si>
  <si>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</si>
  <si>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</si>
  <si>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</si>
  <si>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</si>
  <si>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</si>
  <si>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</si>
  <si>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</si>
  <si>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</si>
  <si>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</si>
  <si>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</si>
  <si>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</si>
  <si>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</si>
  <si>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</si>
  <si>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</si>
  <si>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</si>
  <si>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</si>
  <si>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</si>
  <si>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</si>
  <si>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</si>
  <si>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</si>
  <si>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</si>
  <si>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</si>
  <si>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</si>
  <si>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</si>
  <si>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</si>
  <si>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</si>
  <si>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</si>
  <si>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</si>
  <si>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</si>
  <si>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</si>
  <si>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</si>
  <si>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</si>
  <si>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</si>
  <si>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</si>
  <si>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</si>
  <si>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</si>
  <si>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</si>
  <si>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</si>
  <si>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</si>
  <si>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</si>
  <si>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</si>
  <si>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</si>
  <si>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</si>
  <si>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</si>
  <si>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</si>
  <si>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</si>
  <si>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</si>
  <si>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</si>
  <si>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</si>
  <si>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</si>
  <si>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</si>
  <si>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</si>
  <si>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</si>
  <si>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</si>
  <si>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</si>
  <si>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</si>
  <si>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</si>
  <si>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</si>
  <si>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</si>
  <si>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</si>
  <si>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</si>
  <si>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</si>
  <si>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</si>
  <si>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</si>
  <si>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</si>
  <si>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</si>
  <si>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</si>
  <si>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</si>
  <si>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</si>
  <si>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</si>
  <si>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</si>
  <si>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</si>
  <si>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</si>
  <si>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</si>
  <si>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</si>
  <si>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</si>
  <si>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</si>
  <si>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</si>
  <si>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</si>
  <si>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</si>
  <si>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</si>
  <si>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</si>
  <si>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</si>
  <si>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</si>
  <si>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</si>
  <si>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</si>
  <si>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</si>
  <si>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</si>
  <si>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</si>
  <si>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</si>
  <si>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</si>
  <si>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</si>
  <si>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</si>
  <si>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</si>
  <si>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</si>
  <si>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</si>
  <si>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</si>
  <si>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</si>
  <si>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</si>
  <si>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</si>
  <si>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</si>
  <si>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</si>
  <si>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</si>
  <si>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</si>
  <si>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</si>
  <si>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</si>
  <si>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</si>
  <si>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</si>
  <si>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</si>
  <si>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</si>
  <si>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</si>
  <si>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</si>
  <si>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</si>
  <si>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</si>
  <si>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</si>
  <si>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</si>
  <si>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</si>
  <si>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</si>
  <si>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</si>
  <si>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</si>
  <si>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</si>
  <si>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</si>
  <si>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</si>
  <si>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</si>
  <si>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</si>
  <si>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</si>
  <si>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</si>
  <si>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</si>
  <si>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</si>
  <si>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</si>
  <si>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</si>
  <si>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</si>
  <si>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</si>
  <si>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</si>
  <si>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</si>
  <si>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</si>
  <si>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</si>
  <si>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</si>
  <si>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</si>
  <si>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</si>
  <si>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</si>
  <si>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</si>
  <si>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</si>
  <si>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</si>
  <si>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</si>
  <si>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</si>
  <si>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</si>
  <si>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</si>
  <si>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</si>
  <si>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</si>
  <si>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</si>
  <si>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</si>
  <si>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</si>
  <si>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#E8E6E9</t>
  </si>
  <si>
    <t>XBOX GAME PASS SUBSCRIPTIONS SALES</t>
  </si>
  <si>
    <t>#2AE6B1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</si>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</sst>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Fill="1"/>
    <xf numFmtId="0" fontId="1" fillId="0" borderId="0" xfId="1" applyBorder="1"/>
    <xf numFmtId="0" fontId="0" fillId="0" borderId="0" xfId="0" applyFill="1" applyBorder="1"/>
    <xf numFmtId="0" fontId="0" fillId="0" borderId="0" xfId="0" applyBorder="1"/>
    <xf numFmtId="0" fontId="4" fillId="0" borderId="2" xfId="1" applyFont="1" applyBorder="1"/>
    <xf numFmtId="0" fontId="1" fillId="0" borderId="2" xfId="1" applyBorder="1"/>
    <xf numFmtId="2" fontId="0" fillId="0" borderId="0" xfId="0" applyNumberFormat="1"/>
    <xf numFmtId="1" fontId="0" fillId="0" borderId="0" xfId="0" applyNumberFormat="1"/>
    <xf numFmtId="0" fontId="4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30"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R$&quot;\ #,##0.00"/>
    </dxf>
    <dxf>
      <numFmt numFmtId="165" formatCode="&quot;R$&quot;\ #,##0.00"/>
    </dxf>
    <dxf>
      <font>
        <b/>
        <i val="0"/>
        <color rgb="FFF7F8FC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5B14D06-DC1E-4A3B-86A5-B3E87F9A06DD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DEDED"/>
      <color rgb="FFF7F8FC"/>
      <color rgb="FFE8E6E9"/>
      <color rgb="FF000000"/>
      <color rgb="FFE0E0E0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desafio 3.xlsx]C̳álculos!tbl_annual_total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6.9388939039072284E-18"/>
              <c:y val="-0.108695652173913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6185210378327752E-2"/>
                  <c:h val="6.2729658792650925E-2"/>
                </c:manualLayout>
              </c15:layout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1.8464149769421379E-16"/>
              <c:y val="-0.111111111111111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55209679888173"/>
          <c:y val="0.24314542203963635"/>
          <c:w val="0.85144787209985873"/>
          <c:h val="0.703954020098409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DC-426A-817F-029C3A21E902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DC-426A-817F-029C3A21E902}"/>
              </c:ext>
            </c:extLst>
          </c:dPt>
          <c:dLbls>
            <c:dLbl>
              <c:idx val="0"/>
              <c:layout>
                <c:manualLayout>
                  <c:x val="-6.9388939039072284E-18"/>
                  <c:y val="-0.108695652173913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185210378327752E-2"/>
                      <c:h val="6.27296587926509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EDC-426A-817F-029C3A21E902}"/>
                </c:ext>
              </c:extLst>
            </c:dLbl>
            <c:dLbl>
              <c:idx val="1"/>
              <c:layout>
                <c:manualLayout>
                  <c:x val="-1.8464149769421379E-16"/>
                  <c:y val="-0.111111111111111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DC-426A-817F-029C3A21E9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DC-426A-817F-029C3A21E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5942720"/>
        <c:axId val="485943680"/>
      </c:barChart>
      <c:catAx>
        <c:axId val="48594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943680"/>
        <c:crosses val="autoZero"/>
        <c:auto val="1"/>
        <c:lblAlgn val="ctr"/>
        <c:lblOffset val="100"/>
        <c:noMultiLvlLbl val="0"/>
      </c:catAx>
      <c:valAx>
        <c:axId val="48594368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8594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116416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116416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238124</xdr:colOff>
      <xdr:row>1</xdr:row>
      <xdr:rowOff>452437</xdr:rowOff>
    </xdr:from>
    <xdr:to>
      <xdr:col>3</xdr:col>
      <xdr:colOff>238124</xdr:colOff>
      <xdr:row>2</xdr:row>
      <xdr:rowOff>238124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DF891B-A20A-43F5-AC8D-F45D3FE56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1" t="15142" r="71947" b="13809"/>
        <a:stretch/>
      </xdr:blipFill>
      <xdr:spPr>
        <a:xfrm>
          <a:off x="2262187" y="642937"/>
          <a:ext cx="571500" cy="726281"/>
        </a:xfrm>
        <a:prstGeom prst="rect">
          <a:avLst/>
        </a:prstGeom>
      </xdr:spPr>
    </xdr:pic>
    <xdr:clientData/>
  </xdr:twoCellAnchor>
  <xdr:twoCellAnchor editAs="absolute">
    <xdr:from>
      <xdr:col>0</xdr:col>
      <xdr:colOff>107155</xdr:colOff>
      <xdr:row>5</xdr:row>
      <xdr:rowOff>142874</xdr:rowOff>
    </xdr:from>
    <xdr:to>
      <xdr:col>0</xdr:col>
      <xdr:colOff>1935955</xdr:colOff>
      <xdr:row>19</xdr:row>
      <xdr:rowOff>142874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0C77797-D27A-427C-BFC4-6B028689D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5" y="216693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261937</xdr:colOff>
      <xdr:row>6</xdr:row>
      <xdr:rowOff>11311</xdr:rowOff>
    </xdr:from>
    <xdr:to>
      <xdr:col>11</xdr:col>
      <xdr:colOff>107155</xdr:colOff>
      <xdr:row>17</xdr:row>
      <xdr:rowOff>106561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A5EECBDC-5D36-175A-ADE0-827E11E57C7C}"/>
            </a:ext>
          </a:extLst>
        </xdr:cNvPr>
        <xdr:cNvGrpSpPr/>
      </xdr:nvGrpSpPr>
      <xdr:grpSpPr>
        <a:xfrm>
          <a:off x="2286000" y="2225874"/>
          <a:ext cx="5274468" cy="2190750"/>
          <a:chOff x="2440782" y="2547938"/>
          <a:chExt cx="4953000" cy="2095499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6151966F-733B-092E-C6A3-F07204B353F0}"/>
              </a:ext>
            </a:extLst>
          </xdr:cNvPr>
          <xdr:cNvGrpSpPr/>
        </xdr:nvGrpSpPr>
        <xdr:grpSpPr>
          <a:xfrm>
            <a:off x="2440782" y="2559843"/>
            <a:ext cx="4953000" cy="2083594"/>
            <a:chOff x="2500313" y="2559843"/>
            <a:chExt cx="4953000" cy="2083594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AE01998-CE57-1B29-1BE6-E9404E085D98}"/>
                </a:ext>
              </a:extLst>
            </xdr:cNvPr>
            <xdr:cNvSpPr/>
          </xdr:nvSpPr>
          <xdr:spPr>
            <a:xfrm>
              <a:off x="2500313" y="2559843"/>
              <a:ext cx="4953000" cy="208359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6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C3B94A4D-F4D2-4AAC-A76D-D91E427626AA}"/>
                </a:ext>
              </a:extLst>
            </xdr:cNvPr>
            <xdr:cNvSpPr/>
          </xdr:nvSpPr>
          <xdr:spPr>
            <a:xfrm>
              <a:off x="4500564" y="3059908"/>
              <a:ext cx="2188369" cy="108108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CE9FF26-7078-411E-AA59-511C2C669F0B}" type="TxLink">
                <a:rPr lang="en-US" sz="32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R$ 1.350,00</a:t>
              </a:fld>
              <a:endParaRPr lang="pt-BR" sz="3200"/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BF795F14-10D2-400B-9773-E9D9464836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940843" y="3000376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24B8049C-7D0D-58DE-2CBC-7C59C2BAF9FE}"/>
              </a:ext>
            </a:extLst>
          </xdr:cNvPr>
          <xdr:cNvSpPr/>
        </xdr:nvSpPr>
        <xdr:spPr>
          <a:xfrm>
            <a:off x="2446735" y="2547938"/>
            <a:ext cx="4941094" cy="5119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tx1"/>
                </a:solidFill>
              </a:rPr>
              <a:t>TOTAL</a:t>
            </a:r>
            <a:r>
              <a:rPr lang="pt-BR" sz="1100" b="1" baseline="0">
                <a:solidFill>
                  <a:schemeClr val="tx1"/>
                </a:solidFill>
              </a:rPr>
              <a:t> SUBSCRIPTIONS EA PLAY SEASON PASS</a:t>
            </a:r>
            <a:endParaRPr lang="pt-BR" sz="110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11</xdr:col>
      <xdr:colOff>295273</xdr:colOff>
      <xdr:row>6</xdr:row>
      <xdr:rowOff>10119</xdr:rowOff>
    </xdr:from>
    <xdr:to>
      <xdr:col>20</xdr:col>
      <xdr:colOff>71436</xdr:colOff>
      <xdr:row>17</xdr:row>
      <xdr:rowOff>83939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C7516736-D317-BEE8-D819-21A20E53709E}"/>
            </a:ext>
          </a:extLst>
        </xdr:cNvPr>
        <xdr:cNvGrpSpPr/>
      </xdr:nvGrpSpPr>
      <xdr:grpSpPr>
        <a:xfrm>
          <a:off x="7748586" y="2224682"/>
          <a:ext cx="5074444" cy="2169320"/>
          <a:chOff x="7665243" y="2224087"/>
          <a:chExt cx="5203030" cy="2214562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1FDF5484-63DF-522B-AE77-FBE66793805B}"/>
              </a:ext>
            </a:extLst>
          </xdr:cNvPr>
          <xdr:cNvSpPr/>
        </xdr:nvSpPr>
        <xdr:spPr>
          <a:xfrm>
            <a:off x="7665243" y="2355055"/>
            <a:ext cx="5203030" cy="20835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5D2FF00A-F8CC-9D5A-DAF8-A220EC5002DD}"/>
              </a:ext>
            </a:extLst>
          </xdr:cNvPr>
          <xdr:cNvGrpSpPr/>
        </xdr:nvGrpSpPr>
        <xdr:grpSpPr>
          <a:xfrm>
            <a:off x="7671498" y="2224087"/>
            <a:ext cx="5190523" cy="1640683"/>
            <a:chOff x="7671498" y="2224087"/>
            <a:chExt cx="5190523" cy="1640683"/>
          </a:xfrm>
        </xdr:grpSpPr>
        <xdr:sp macro="" textlink="C̳álculos!F37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FB5C91BC-252A-923B-2412-0B41A76C2056}"/>
                </a:ext>
              </a:extLst>
            </xdr:cNvPr>
            <xdr:cNvSpPr/>
          </xdr:nvSpPr>
          <xdr:spPr>
            <a:xfrm>
              <a:off x="10195094" y="2783682"/>
              <a:ext cx="2298839" cy="108108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189B9AF-3BC2-40C9-B38B-47C6C2CBF83F}" type="TxLink">
                <a:rPr lang="en-US" sz="3200" b="0" i="0" u="none" strike="noStrike">
                  <a:solidFill>
                    <a:srgbClr val="000000"/>
                  </a:solidFill>
                  <a:latin typeface="Aptos Narrow"/>
                </a:rPr>
                <a:t>R$ 1.800,00</a:t>
              </a:fld>
              <a:endParaRPr lang="pt-BR" sz="3200"/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3AFF5A12-B915-95D8-6BAF-3388B4478FE1}"/>
                </a:ext>
              </a:extLst>
            </xdr:cNvPr>
            <xdr:cNvSpPr/>
          </xdr:nvSpPr>
          <xdr:spPr>
            <a:xfrm>
              <a:off x="7671498" y="2224087"/>
              <a:ext cx="5190523" cy="51196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tx1"/>
                  </a:solidFill>
                </a:rPr>
                <a:t>TOTAL</a:t>
              </a:r>
              <a:r>
                <a:rPr lang="pt-BR" sz="1100" b="1" baseline="0">
                  <a:solidFill>
                    <a:schemeClr val="tx1"/>
                  </a:solidFill>
                </a:rPr>
                <a:t> SUBSCRIPTIONS MINECRAFT SEASON PASS</a:t>
              </a:r>
              <a:endParaRPr lang="pt-BR" sz="1100" b="1">
                <a:solidFill>
                  <a:schemeClr val="tx1"/>
                </a:solidFill>
              </a:endParaRPr>
            </a:p>
          </xdr:txBody>
        </xdr:sp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58A7098E-3865-496D-8188-5E4D136E8871}"/>
                </a:ext>
              </a:extLst>
            </xdr:cNvPr>
            <xdr:cNvGrpSpPr/>
          </xdr:nvGrpSpPr>
          <xdr:grpSpPr>
            <a:xfrm>
              <a:off x="8163731" y="2831306"/>
              <a:ext cx="1549476" cy="752476"/>
              <a:chOff x="3495675" y="5400674"/>
              <a:chExt cx="1549476" cy="752476"/>
            </a:xfrm>
          </xdr:grpSpPr>
          <xdr:pic>
            <xdr:nvPicPr>
              <xdr:cNvPr id="21" name="Imagem 20">
                <a:extLst>
                  <a:ext uri="{FF2B5EF4-FFF2-40B4-BE49-F238E27FC236}">
                    <a16:creationId xmlns:a16="http://schemas.microsoft.com/office/drawing/2014/main" id="{16B85733-0ED2-18B2-1530-091220B6FB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2" name="Gráfico 21">
                <a:extLst>
                  <a:ext uri="{FF2B5EF4-FFF2-40B4-BE49-F238E27FC236}">
                    <a16:creationId xmlns:a16="http://schemas.microsoft.com/office/drawing/2014/main" id="{E4E039F5-F24D-69FD-7327-C4448A70832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0</xdr:col>
      <xdr:colOff>1723099</xdr:colOff>
      <xdr:row>18</xdr:row>
      <xdr:rowOff>11905</xdr:rowOff>
    </xdr:from>
    <xdr:to>
      <xdr:col>20</xdr:col>
      <xdr:colOff>59530</xdr:colOff>
      <xdr:row>33</xdr:row>
      <xdr:rowOff>-1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D0F3793-1CB9-2F48-57CF-11F36EA0F0A1}"/>
            </a:ext>
          </a:extLst>
        </xdr:cNvPr>
        <xdr:cNvGrpSpPr/>
      </xdr:nvGrpSpPr>
      <xdr:grpSpPr>
        <a:xfrm>
          <a:off x="1723099" y="4512468"/>
          <a:ext cx="11088025" cy="2845594"/>
          <a:chOff x="1687381" y="4952999"/>
          <a:chExt cx="11088025" cy="2845594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B5FFCE6-2E90-9657-2AC1-2F2740410282}"/>
              </a:ext>
            </a:extLst>
          </xdr:cNvPr>
          <xdr:cNvGrpSpPr/>
        </xdr:nvGrpSpPr>
        <xdr:grpSpPr>
          <a:xfrm>
            <a:off x="1687381" y="5036343"/>
            <a:ext cx="11088025" cy="2762250"/>
            <a:chOff x="4303179" y="2393156"/>
            <a:chExt cx="5531383" cy="27622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C1F73BD-A7FA-C914-3669-85A50C093ADA}"/>
                </a:ext>
              </a:extLst>
            </xdr:cNvPr>
            <xdr:cNvSpPr/>
          </xdr:nvSpPr>
          <xdr:spPr>
            <a:xfrm>
              <a:off x="4619625" y="2393156"/>
              <a:ext cx="5214937" cy="27622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9D0E843-63E9-41BA-9DE6-BF778C7DB83F}"/>
                </a:ext>
              </a:extLst>
            </xdr:cNvPr>
            <xdr:cNvGraphicFramePr>
              <a:graphicFrameLocks/>
            </xdr:cNvGraphicFramePr>
          </xdr:nvGraphicFramePr>
          <xdr:xfrm>
            <a:off x="4303179" y="2405062"/>
            <a:ext cx="5032460" cy="26289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896DFC4F-8C2C-496E-A80D-296C8E2F470B}"/>
              </a:ext>
            </a:extLst>
          </xdr:cNvPr>
          <xdr:cNvSpPr/>
        </xdr:nvSpPr>
        <xdr:spPr>
          <a:xfrm>
            <a:off x="2309812" y="4952999"/>
            <a:ext cx="10465593" cy="53524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tx1"/>
                </a:solidFill>
              </a:rPr>
              <a:t>TOTAL</a:t>
            </a:r>
            <a:r>
              <a:rPr lang="pt-BR" sz="1100" b="1" baseline="0">
                <a:solidFill>
                  <a:schemeClr val="tx1"/>
                </a:solidFill>
              </a:rPr>
              <a:t> SUBSCRIPTIONS XBOX GAME PASS</a:t>
            </a:r>
            <a:endParaRPr lang="pt-BR" sz="110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0</xdr:col>
      <xdr:colOff>83343</xdr:colOff>
      <xdr:row>1</xdr:row>
      <xdr:rowOff>773906</xdr:rowOff>
    </xdr:from>
    <xdr:to>
      <xdr:col>0</xdr:col>
      <xdr:colOff>1952625</xdr:colOff>
      <xdr:row>2</xdr:row>
      <xdr:rowOff>369093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D5EBEEFC-76B9-A941-3521-DA87DA2DE05D}"/>
            </a:ext>
          </a:extLst>
        </xdr:cNvPr>
        <xdr:cNvSpPr/>
      </xdr:nvSpPr>
      <xdr:spPr>
        <a:xfrm>
          <a:off x="83343" y="964406"/>
          <a:ext cx="1869282" cy="5357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BEM VINDO TADEU</a:t>
          </a:r>
        </a:p>
      </xdr:txBody>
    </xdr:sp>
    <xdr:clientData/>
  </xdr:twoCellAnchor>
  <xdr:twoCellAnchor editAs="absolute">
    <xdr:from>
      <xdr:col>0</xdr:col>
      <xdr:colOff>666750</xdr:colOff>
      <xdr:row>1</xdr:row>
      <xdr:rowOff>35719</xdr:rowOff>
    </xdr:from>
    <xdr:to>
      <xdr:col>0</xdr:col>
      <xdr:colOff>1362075</xdr:colOff>
      <xdr:row>1</xdr:row>
      <xdr:rowOff>731044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4F539A1C-69B8-4226-B5E1-8EE2DBB0FB69}"/>
            </a:ext>
          </a:extLst>
        </xdr:cNvPr>
        <xdr:cNvSpPr/>
      </xdr:nvSpPr>
      <xdr:spPr>
        <a:xfrm>
          <a:off x="666750" y="226219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250031</xdr:colOff>
      <xdr:row>2</xdr:row>
      <xdr:rowOff>476250</xdr:rowOff>
    </xdr:from>
    <xdr:to>
      <xdr:col>10</xdr:col>
      <xdr:colOff>23694</xdr:colOff>
      <xdr:row>4</xdr:row>
      <xdr:rowOff>3181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43D02895-F167-4284-B207-9BD0A826F678}"/>
            </a:ext>
          </a:extLst>
        </xdr:cNvPr>
        <xdr:cNvSpPr/>
      </xdr:nvSpPr>
      <xdr:spPr>
        <a:xfrm>
          <a:off x="2274094" y="1607344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01/01/2026 - 31/12/2026 | Update date: 10/09/2026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Henrique" refreshedDate="46275.602651273148" createdVersion="8" refreshedVersion="8" minRefreshableVersion="3" recordCount="295" xr:uid="{9914CF6B-E9C3-437B-9DBB-B45E756E6A5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063297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91B11-89BF-415F-96D8-07F97CCB3A75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2" baseItem="1"/>
  </dataFields>
  <formats count="6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collapsedLevelsAreSubtotals="1" fieldPosition="0">
        <references count="1">
          <reference field="2" count="1">
            <x v="2"/>
          </reference>
        </references>
      </pivotArea>
    </format>
    <format dxfId="3">
      <pivotArea grandRow="1" outline="0" collapsedLevelsAreSubtotals="1" fieldPosition="0"/>
    </format>
    <format dxfId="4">
      <pivotArea collapsedLevelsAreSubtotals="1" fieldPosition="0">
        <references count="1">
          <reference field="2" count="1">
            <x v="0"/>
          </reference>
        </references>
      </pivotArea>
    </format>
    <format dxfId="5">
      <pivotArea collapsedLevelsAreSubtotals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FC26D-DD88-4711-8F2B-4911051F75CC}" name="tbl_ea_season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formats count="6"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collapsedLevelsAreSubtotals="1" fieldPosition="0">
        <references count="1">
          <reference field="2" count="1">
            <x v="2"/>
          </reference>
        </references>
      </pivotArea>
    </format>
    <format dxfId="9">
      <pivotArea grandRow="1" outline="0" collapsedLevelsAreSubtotals="1" fieldPosition="0"/>
    </format>
    <format dxfId="10">
      <pivotArea collapsedLevelsAreSubtotals="1" fieldPosition="0">
        <references count="1">
          <reference field="2" count="1">
            <x v="0"/>
          </reference>
        </references>
      </pivotArea>
    </format>
    <format dxfId="11">
      <pivotArea collapsedLevelsAreSubtotals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BC653-B0FF-4B8D-B6D4-50BB8B937367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5"/>
  </dataFields>
  <formats count="2">
    <format dxfId="12">
      <pivotArea outline="0" collapsedLevelsAreSubtotals="1" fieldPosition="0"/>
    </format>
    <format dxfId="13">
      <pivotArea dataOnly="0" labelOnly="1" outline="0" axis="axisValues" fieldPosition="0"/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6F0D573-66D7-4A0E-8F70-854CFDE46479}" sourceName="Subscription Type">
  <pivotTables>
    <pivotTable tabId="3" name="tbl_annual_total"/>
    <pivotTable tabId="3" name="tbl_ea_season_total"/>
    <pivotTable tabId="3" name="Tabela dinâmica3"/>
  </pivotTables>
  <data>
    <tabular pivotCacheId="1606329727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617F4E1-7F56-42B0-BE08-00860BA67F5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9">
  <autoFilter ref="A1:M296" xr:uid="{34E0E886-4200-4B36-97B3-63DB74FF40A0}">
    <filterColumn colId="7">
      <filters>
        <filter val="Yes"/>
      </filters>
    </filterColumn>
  </autoFilter>
  <sortState xmlns:xlrd2="http://schemas.microsoft.com/office/spreadsheetml/2017/richdata2" ref="A2:M294">
    <sortCondition ref="C1:C296"/>
  </sortState>
  <tableColumns count="13">
    <tableColumn id="1" xr3:uid="{C4A90516-688A-46BF-9167-EA16C2A8A652}" name="Subscriber ID" dataDxfId="28"/>
    <tableColumn id="2" xr3:uid="{53DD39D0-2220-4121-9E9D-4EAA7E151C0F}" name="Name" dataDxfId="27"/>
    <tableColumn id="3" xr3:uid="{4F5FF271-4C57-4BE0-8F2C-F82C8551625C}" name="Plan" dataDxfId="26"/>
    <tableColumn id="4" xr3:uid="{8C17EB93-79B9-4E55-B8F7-BEB82F8253E9}" name="Start Date" dataDxfId="25"/>
    <tableColumn id="5" xr3:uid="{48CEDF9B-1689-482A-A828-5CCE7713264A}" name="Auto Renewal" dataDxfId="24"/>
    <tableColumn id="6" xr3:uid="{78B82374-9AA7-4E38-AE4F-78CDE6C83720}" name="Subscription Price" dataDxfId="23" dataCellStyle="Moeda"/>
    <tableColumn id="7" xr3:uid="{F2433F68-AF33-49D0-B1FB-19A396074EDE}" name="Subscription Type" dataDxfId="22"/>
    <tableColumn id="8" xr3:uid="{FD4D9C95-F6E5-4933-9068-A71FF7DF9343}" name="EA Play Season Pass" dataDxfId="21"/>
    <tableColumn id="13" xr3:uid="{978DD0D2-834E-4CE4-A39B-30976086932F}" name="EA Play Season Pass_x000a_Price" dataDxfId="20" dataCellStyle="Moeda"/>
    <tableColumn id="9" xr3:uid="{6E29F111-C395-4580-9DAD-3407D9E8B1A4}" name="Minecraft Season Pass" dataDxfId="19"/>
    <tableColumn id="10" xr3:uid="{EF544EAA-7F25-4FD5-A10E-8E62804DB9E3}" name="Minecraft Season Pass Price" dataDxfId="18" dataCellStyle="Moeda"/>
    <tableColumn id="11" xr3:uid="{7F6EB64A-1F07-4E48-9F0F-AC7D9DCD26F8}" name="Coupon Value" dataDxfId="17" dataCellStyle="Moeda"/>
    <tableColumn id="12" xr3:uid="{2B04ABC8-DE6F-426E-ADC0-D8AFC68CA58E}" name="Total Value" dataDxfId="1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H57" sqref="H5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6</v>
      </c>
      <c r="E5" s="7" t="s">
        <v>314</v>
      </c>
      <c r="F5" t="s">
        <v>5</v>
      </c>
    </row>
    <row r="6" spans="2:16" x14ac:dyDescent="0.25">
      <c r="B6" s="4" t="s">
        <v>3</v>
      </c>
      <c r="C6" t="s">
        <v>6</v>
      </c>
    </row>
    <row r="7" spans="2:16" x14ac:dyDescent="0.25">
      <c r="B7" s="5" t="s">
        <v>316</v>
      </c>
      <c r="C7" t="s">
        <v>7</v>
      </c>
    </row>
    <row r="8" spans="2:16" x14ac:dyDescent="0.25">
      <c r="B8" s="6" t="s">
        <v>4</v>
      </c>
      <c r="C8" t="s">
        <v>7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H57" sqref="H5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x14ac:dyDescent="0.25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x14ac:dyDescent="0.2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x14ac:dyDescent="0.2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x14ac:dyDescent="0.25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x14ac:dyDescent="0.2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x14ac:dyDescent="0.2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x14ac:dyDescent="0.25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x14ac:dyDescent="0.2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x14ac:dyDescent="0.25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x14ac:dyDescent="0.2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x14ac:dyDescent="0.2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x14ac:dyDescent="0.25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x14ac:dyDescent="0.2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x14ac:dyDescent="0.2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x14ac:dyDescent="0.25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x14ac:dyDescent="0.2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x14ac:dyDescent="0.2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x14ac:dyDescent="0.25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x14ac:dyDescent="0.2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x14ac:dyDescent="0.2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x14ac:dyDescent="0.25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x14ac:dyDescent="0.2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x14ac:dyDescent="0.2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x14ac:dyDescent="0.25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x14ac:dyDescent="0.2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x14ac:dyDescent="0.2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x14ac:dyDescent="0.25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x14ac:dyDescent="0.2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x14ac:dyDescent="0.2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x14ac:dyDescent="0.25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x14ac:dyDescent="0.2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x14ac:dyDescent="0.2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x14ac:dyDescent="0.25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x14ac:dyDescent="0.2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x14ac:dyDescent="0.2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x14ac:dyDescent="0.2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x14ac:dyDescent="0.25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x14ac:dyDescent="0.2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x14ac:dyDescent="0.2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x14ac:dyDescent="0.25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x14ac:dyDescent="0.2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x14ac:dyDescent="0.2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x14ac:dyDescent="0.25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x14ac:dyDescent="0.2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x14ac:dyDescent="0.2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x14ac:dyDescent="0.25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x14ac:dyDescent="0.2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x14ac:dyDescent="0.2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x14ac:dyDescent="0.25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x14ac:dyDescent="0.2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x14ac:dyDescent="0.2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x14ac:dyDescent="0.25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x14ac:dyDescent="0.2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x14ac:dyDescent="0.2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x14ac:dyDescent="0.25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x14ac:dyDescent="0.2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x14ac:dyDescent="0.2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x14ac:dyDescent="0.25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x14ac:dyDescent="0.2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x14ac:dyDescent="0.2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x14ac:dyDescent="0.25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x14ac:dyDescent="0.2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x14ac:dyDescent="0.2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x14ac:dyDescent="0.25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x14ac:dyDescent="0.2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x14ac:dyDescent="0.2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x14ac:dyDescent="0.25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x14ac:dyDescent="0.2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x14ac:dyDescent="0.2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x14ac:dyDescent="0.25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x14ac:dyDescent="0.2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x14ac:dyDescent="0.2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x14ac:dyDescent="0.25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x14ac:dyDescent="0.2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x14ac:dyDescent="0.2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x14ac:dyDescent="0.25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x14ac:dyDescent="0.2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x14ac:dyDescent="0.2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x14ac:dyDescent="0.25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x14ac:dyDescent="0.2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x14ac:dyDescent="0.2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x14ac:dyDescent="0.25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x14ac:dyDescent="0.2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x14ac:dyDescent="0.2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x14ac:dyDescent="0.25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x14ac:dyDescent="0.2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x14ac:dyDescent="0.2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x14ac:dyDescent="0.25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x14ac:dyDescent="0.2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x14ac:dyDescent="0.2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x14ac:dyDescent="0.25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x14ac:dyDescent="0.2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x14ac:dyDescent="0.2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x14ac:dyDescent="0.25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x14ac:dyDescent="0.2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x14ac:dyDescent="0.2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x14ac:dyDescent="0.25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x14ac:dyDescent="0.2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x14ac:dyDescent="0.2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x14ac:dyDescent="0.2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x14ac:dyDescent="0.2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x14ac:dyDescent="0.2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x14ac:dyDescent="0.25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x14ac:dyDescent="0.2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x14ac:dyDescent="0.2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x14ac:dyDescent="0.2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x14ac:dyDescent="0.25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x14ac:dyDescent="0.2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x14ac:dyDescent="0.2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x14ac:dyDescent="0.25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x14ac:dyDescent="0.2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x14ac:dyDescent="0.2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x14ac:dyDescent="0.25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x14ac:dyDescent="0.2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x14ac:dyDescent="0.2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x14ac:dyDescent="0.25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x14ac:dyDescent="0.2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x14ac:dyDescent="0.2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x14ac:dyDescent="0.25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x14ac:dyDescent="0.2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x14ac:dyDescent="0.2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x14ac:dyDescent="0.25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x14ac:dyDescent="0.2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x14ac:dyDescent="0.2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x14ac:dyDescent="0.25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x14ac:dyDescent="0.2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x14ac:dyDescent="0.2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x14ac:dyDescent="0.25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x14ac:dyDescent="0.2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x14ac:dyDescent="0.2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x14ac:dyDescent="0.25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x14ac:dyDescent="0.2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x14ac:dyDescent="0.2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x14ac:dyDescent="0.25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x14ac:dyDescent="0.2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x14ac:dyDescent="0.2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x14ac:dyDescent="0.2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x14ac:dyDescent="0.2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x14ac:dyDescent="0.2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x14ac:dyDescent="0.25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x14ac:dyDescent="0.2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x14ac:dyDescent="0.2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x14ac:dyDescent="0.2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x14ac:dyDescent="0.2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x14ac:dyDescent="0.2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x14ac:dyDescent="0.2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x14ac:dyDescent="0.2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x14ac:dyDescent="0.2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x14ac:dyDescent="0.25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x14ac:dyDescent="0.2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x14ac:dyDescent="0.2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x14ac:dyDescent="0.2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x14ac:dyDescent="0.2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x14ac:dyDescent="0.2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x14ac:dyDescent="0.25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x14ac:dyDescent="0.2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x14ac:dyDescent="0.2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x14ac:dyDescent="0.25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x14ac:dyDescent="0.2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x14ac:dyDescent="0.2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x14ac:dyDescent="0.25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x14ac:dyDescent="0.2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x14ac:dyDescent="0.2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x14ac:dyDescent="0.2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x14ac:dyDescent="0.2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x14ac:dyDescent="0.2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x14ac:dyDescent="0.25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x14ac:dyDescent="0.2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x14ac:dyDescent="0.2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x14ac:dyDescent="0.2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x14ac:dyDescent="0.2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x14ac:dyDescent="0.2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x14ac:dyDescent="0.25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x14ac:dyDescent="0.2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x14ac:dyDescent="0.2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x14ac:dyDescent="0.2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x14ac:dyDescent="0.25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x14ac:dyDescent="0.2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x14ac:dyDescent="0.2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x14ac:dyDescent="0.25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x14ac:dyDescent="0.2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x14ac:dyDescent="0.2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x14ac:dyDescent="0.2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x14ac:dyDescent="0.2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x14ac:dyDescent="0.2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x14ac:dyDescent="0.2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x14ac:dyDescent="0.2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x14ac:dyDescent="0.2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x14ac:dyDescent="0.25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x14ac:dyDescent="0.2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x14ac:dyDescent="0.2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x14ac:dyDescent="0.2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x14ac:dyDescent="0.2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x14ac:dyDescent="0.2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x14ac:dyDescent="0.25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x14ac:dyDescent="0.2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x14ac:dyDescent="0.2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x14ac:dyDescent="0.2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x14ac:dyDescent="0.2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x14ac:dyDescent="0.2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x14ac:dyDescent="0.25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x14ac:dyDescent="0.2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x14ac:dyDescent="0.2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x14ac:dyDescent="0.25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x14ac:dyDescent="0.2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x14ac:dyDescent="0.2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x14ac:dyDescent="0.25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x14ac:dyDescent="0.2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x14ac:dyDescent="0.2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x14ac:dyDescent="0.25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x14ac:dyDescent="0.2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x14ac:dyDescent="0.2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x14ac:dyDescent="0.25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x14ac:dyDescent="0.2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x14ac:dyDescent="0.2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x14ac:dyDescent="0.25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x14ac:dyDescent="0.2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x14ac:dyDescent="0.2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x14ac:dyDescent="0.25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x14ac:dyDescent="0.2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x14ac:dyDescent="0.2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x14ac:dyDescent="0.2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x14ac:dyDescent="0.2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x14ac:dyDescent="0.2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x14ac:dyDescent="0.2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x14ac:dyDescent="0.2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x14ac:dyDescent="0.2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x14ac:dyDescent="0.2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x14ac:dyDescent="0.2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x14ac:dyDescent="0.2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x14ac:dyDescent="0.25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x14ac:dyDescent="0.2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x14ac:dyDescent="0.2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x14ac:dyDescent="0.25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x14ac:dyDescent="0.2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x14ac:dyDescent="0.2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x14ac:dyDescent="0.25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x14ac:dyDescent="0.2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x14ac:dyDescent="0.2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x14ac:dyDescent="0.25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x14ac:dyDescent="0.2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x14ac:dyDescent="0.2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x14ac:dyDescent="0.25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x14ac:dyDescent="0.2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x14ac:dyDescent="0.2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x14ac:dyDescent="0.25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x14ac:dyDescent="0.2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x14ac:dyDescent="0.2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x14ac:dyDescent="0.25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x14ac:dyDescent="0.2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x14ac:dyDescent="0.2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x14ac:dyDescent="0.25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x14ac:dyDescent="0.2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x14ac:dyDescent="0.2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x14ac:dyDescent="0.25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x14ac:dyDescent="0.2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x14ac:dyDescent="0.25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x14ac:dyDescent="0.2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x14ac:dyDescent="0.2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x14ac:dyDescent="0.2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x14ac:dyDescent="0.2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x14ac:dyDescent="0.2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x14ac:dyDescent="0.2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x14ac:dyDescent="0.2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x14ac:dyDescent="0.2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x14ac:dyDescent="0.25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x14ac:dyDescent="0.2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x14ac:dyDescent="0.2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x14ac:dyDescent="0.2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x14ac:dyDescent="0.2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x14ac:dyDescent="0.2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x14ac:dyDescent="0.2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x14ac:dyDescent="0.2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x14ac:dyDescent="0.2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x14ac:dyDescent="0.2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x14ac:dyDescent="0.2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x14ac:dyDescent="0.2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x14ac:dyDescent="0.25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x14ac:dyDescent="0.2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x14ac:dyDescent="0.2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x14ac:dyDescent="0.2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x14ac:dyDescent="0.2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x14ac:dyDescent="0.2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x14ac:dyDescent="0.25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x14ac:dyDescent="0.2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x14ac:dyDescent="0.2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x14ac:dyDescent="0.25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x14ac:dyDescent="0.2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x14ac:dyDescent="0.2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x14ac:dyDescent="0.25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x14ac:dyDescent="0.2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x14ac:dyDescent="0.2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x14ac:dyDescent="0.25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x14ac:dyDescent="0.2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x14ac:dyDescent="0.2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F37"/>
  <sheetViews>
    <sheetView showGridLines="0" workbookViewId="0">
      <selection activeCell="AB32" sqref="AB32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6.71093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2" t="s">
        <v>14</v>
      </c>
      <c r="C8" t="s">
        <v>18</v>
      </c>
    </row>
    <row r="10" spans="2:3" x14ac:dyDescent="0.25">
      <c r="B10" s="12" t="s">
        <v>311</v>
      </c>
      <c r="C10" s="14" t="s">
        <v>313</v>
      </c>
    </row>
    <row r="11" spans="2:3" x14ac:dyDescent="0.25">
      <c r="B11" s="13" t="s">
        <v>21</v>
      </c>
      <c r="C11" s="14">
        <v>2824</v>
      </c>
    </row>
    <row r="12" spans="2:3" x14ac:dyDescent="0.25">
      <c r="B12" s="13" t="s">
        <v>17</v>
      </c>
      <c r="C12" s="14">
        <v>747</v>
      </c>
    </row>
    <row r="13" spans="2:3" x14ac:dyDescent="0.25">
      <c r="B13" s="13" t="s">
        <v>312</v>
      </c>
      <c r="C13" s="14">
        <v>3571</v>
      </c>
    </row>
    <row r="20" spans="2:6" x14ac:dyDescent="0.25">
      <c r="B20" s="12" t="s">
        <v>14</v>
      </c>
      <c r="C20" t="s">
        <v>18</v>
      </c>
    </row>
    <row r="22" spans="2:6" x14ac:dyDescent="0.25">
      <c r="B22" s="12" t="s">
        <v>311</v>
      </c>
      <c r="C22" s="21" t="s">
        <v>317</v>
      </c>
    </row>
    <row r="23" spans="2:6" x14ac:dyDescent="0.25">
      <c r="B23" s="13" t="s">
        <v>20</v>
      </c>
      <c r="C23" s="22">
        <v>0</v>
      </c>
    </row>
    <row r="24" spans="2:6" x14ac:dyDescent="0.25">
      <c r="B24" s="13" t="s">
        <v>24</v>
      </c>
      <c r="C24" s="22">
        <v>0</v>
      </c>
    </row>
    <row r="25" spans="2:6" x14ac:dyDescent="0.25">
      <c r="B25" s="13" t="s">
        <v>16</v>
      </c>
      <c r="C25" s="22">
        <v>1350</v>
      </c>
    </row>
    <row r="26" spans="2:6" x14ac:dyDescent="0.25">
      <c r="B26" s="13" t="s">
        <v>312</v>
      </c>
      <c r="C26" s="22">
        <v>1350</v>
      </c>
      <c r="F26" s="14">
        <f>GETPIVOTDATA("EA Play Season Pass
Price",$B$22,"Plan","Ultimate")</f>
        <v>1350</v>
      </c>
    </row>
    <row r="31" spans="2:6" x14ac:dyDescent="0.25">
      <c r="B31" s="12" t="s">
        <v>14</v>
      </c>
      <c r="C31" t="s">
        <v>18</v>
      </c>
    </row>
    <row r="33" spans="2:6" x14ac:dyDescent="0.25">
      <c r="B33" s="12" t="s">
        <v>311</v>
      </c>
      <c r="C33" s="21" t="s">
        <v>318</v>
      </c>
    </row>
    <row r="34" spans="2:6" x14ac:dyDescent="0.25">
      <c r="B34" s="13" t="s">
        <v>20</v>
      </c>
      <c r="C34" s="22">
        <v>0</v>
      </c>
    </row>
    <row r="35" spans="2:6" x14ac:dyDescent="0.25">
      <c r="B35" s="13" t="s">
        <v>24</v>
      </c>
      <c r="C35" s="22">
        <v>900</v>
      </c>
    </row>
    <row r="36" spans="2:6" x14ac:dyDescent="0.25">
      <c r="B36" s="13" t="s">
        <v>16</v>
      </c>
      <c r="C36" s="22">
        <v>900</v>
      </c>
    </row>
    <row r="37" spans="2:6" x14ac:dyDescent="0.25">
      <c r="B37" s="13" t="s">
        <v>312</v>
      </c>
      <c r="C37" s="22">
        <v>1800</v>
      </c>
      <c r="F37" s="14">
        <f>GETPIVOTDATA("Minecraft Season Pass Price",$B$33)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258"/>
  <sheetViews>
    <sheetView showGridLines="0" showRowColHeaders="0" tabSelected="1" zoomScale="80" zoomScaleNormal="80" workbookViewId="0">
      <selection activeCell="F42" sqref="F42:F43"/>
    </sheetView>
  </sheetViews>
  <sheetFormatPr defaultRowHeight="15" x14ac:dyDescent="0.25"/>
  <cols>
    <col min="1" max="1" width="30.42578125" style="5" customWidth="1"/>
    <col min="2" max="2" width="5" style="5" customWidth="1"/>
    <col min="3" max="3" width="3.5703125" customWidth="1"/>
    <col min="13" max="13" width="6.5703125" customWidth="1"/>
  </cols>
  <sheetData>
    <row r="1" spans="1:23" x14ac:dyDescent="0.25">
      <c r="B1" s="15"/>
    </row>
    <row r="2" spans="1:23" ht="74.25" customHeight="1" thickBot="1" x14ac:dyDescent="0.35">
      <c r="B2" s="17"/>
      <c r="C2" s="23" t="s">
        <v>315</v>
      </c>
      <c r="D2" s="19"/>
      <c r="E2" s="19"/>
      <c r="F2" s="19"/>
      <c r="G2" s="19"/>
      <c r="H2" s="19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16"/>
      <c r="V2" s="18"/>
      <c r="W2" s="18"/>
    </row>
    <row r="3" spans="1:23" ht="40.5" customHeight="1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s="7" customFormat="1" x14ac:dyDescent="0.25">
      <c r="A4" s="5"/>
    </row>
    <row r="5" spans="1:23" s="7" customFormat="1" x14ac:dyDescent="0.25">
      <c r="A5" s="5"/>
    </row>
    <row r="6" spans="1:23" s="7" customFormat="1" x14ac:dyDescent="0.25">
      <c r="A6" s="5"/>
    </row>
    <row r="7" spans="1:23" s="7" customFormat="1" x14ac:dyDescent="0.25">
      <c r="A7" s="5"/>
    </row>
    <row r="8" spans="1:23" s="7" customFormat="1" x14ac:dyDescent="0.25">
      <c r="A8" s="5"/>
    </row>
    <row r="9" spans="1:23" s="7" customFormat="1" x14ac:dyDescent="0.25">
      <c r="A9" s="5"/>
    </row>
    <row r="10" spans="1:23" s="7" customFormat="1" x14ac:dyDescent="0.25">
      <c r="A10" s="5"/>
    </row>
    <row r="11" spans="1:23" s="7" customFormat="1" x14ac:dyDescent="0.25">
      <c r="A11" s="5"/>
    </row>
    <row r="12" spans="1:23" s="7" customFormat="1" x14ac:dyDescent="0.25">
      <c r="A12" s="5"/>
    </row>
    <row r="13" spans="1:23" s="7" customFormat="1" x14ac:dyDescent="0.25">
      <c r="A13" s="5"/>
    </row>
    <row r="14" spans="1:23" s="7" customFormat="1" x14ac:dyDescent="0.25">
      <c r="A14" s="5"/>
    </row>
    <row r="15" spans="1:23" s="7" customFormat="1" x14ac:dyDescent="0.25">
      <c r="A15" s="5"/>
    </row>
    <row r="16" spans="1:23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  <row r="202" spans="1:1" s="7" customFormat="1" x14ac:dyDescent="0.25">
      <c r="A202" s="5"/>
    </row>
    <row r="203" spans="1:1" s="7" customFormat="1" x14ac:dyDescent="0.25">
      <c r="A203" s="5"/>
    </row>
    <row r="204" spans="1:1" s="7" customFormat="1" x14ac:dyDescent="0.25">
      <c r="A204" s="5"/>
    </row>
    <row r="205" spans="1:1" s="7" customFormat="1" x14ac:dyDescent="0.25">
      <c r="A205" s="5"/>
    </row>
    <row r="206" spans="1:1" s="7" customFormat="1" x14ac:dyDescent="0.25">
      <c r="A206" s="5"/>
    </row>
    <row r="207" spans="1:1" s="7" customFormat="1" x14ac:dyDescent="0.25">
      <c r="A207" s="5"/>
    </row>
    <row r="208" spans="1:1" s="7" customFormat="1" x14ac:dyDescent="0.25">
      <c r="A208" s="5"/>
    </row>
    <row r="209" spans="1:1" s="7" customFormat="1" x14ac:dyDescent="0.25">
      <c r="A209" s="5"/>
    </row>
    <row r="210" spans="1:1" s="7" customFormat="1" x14ac:dyDescent="0.25">
      <c r="A210" s="5"/>
    </row>
    <row r="211" spans="1:1" s="7" customFormat="1" x14ac:dyDescent="0.25">
      <c r="A211" s="5"/>
    </row>
    <row r="212" spans="1:1" s="7" customFormat="1" x14ac:dyDescent="0.25">
      <c r="A212" s="5"/>
    </row>
    <row r="213" spans="1:1" s="7" customFormat="1" x14ac:dyDescent="0.25">
      <c r="A213" s="5"/>
    </row>
    <row r="214" spans="1:1" s="7" customFormat="1" x14ac:dyDescent="0.25">
      <c r="A214" s="5"/>
    </row>
    <row r="215" spans="1:1" s="7" customFormat="1" x14ac:dyDescent="0.25">
      <c r="A215" s="5"/>
    </row>
    <row r="216" spans="1:1" s="7" customFormat="1" x14ac:dyDescent="0.25">
      <c r="A216" s="5"/>
    </row>
    <row r="217" spans="1:1" s="7" customFormat="1" x14ac:dyDescent="0.25">
      <c r="A217" s="5"/>
    </row>
    <row r="218" spans="1:1" s="7" customFormat="1" x14ac:dyDescent="0.25">
      <c r="A218" s="5"/>
    </row>
    <row r="219" spans="1:1" s="7" customFormat="1" x14ac:dyDescent="0.25">
      <c r="A219" s="5"/>
    </row>
    <row r="220" spans="1:1" s="7" customFormat="1" x14ac:dyDescent="0.25">
      <c r="A220" s="5"/>
    </row>
    <row r="221" spans="1:1" s="7" customFormat="1" x14ac:dyDescent="0.25">
      <c r="A221" s="5"/>
    </row>
    <row r="222" spans="1:1" s="7" customFormat="1" x14ac:dyDescent="0.25">
      <c r="A222" s="5"/>
    </row>
    <row r="223" spans="1:1" s="7" customFormat="1" x14ac:dyDescent="0.25">
      <c r="A223" s="5"/>
    </row>
    <row r="224" spans="1:1" s="7" customFormat="1" x14ac:dyDescent="0.25">
      <c r="A224" s="5"/>
    </row>
    <row r="225" spans="1:1" s="7" customFormat="1" x14ac:dyDescent="0.25">
      <c r="A225" s="5"/>
    </row>
    <row r="226" spans="1:1" s="7" customFormat="1" x14ac:dyDescent="0.25">
      <c r="A226" s="5"/>
    </row>
    <row r="227" spans="1:1" s="7" customFormat="1" x14ac:dyDescent="0.25">
      <c r="A227" s="5"/>
    </row>
    <row r="228" spans="1:1" s="7" customFormat="1" x14ac:dyDescent="0.25">
      <c r="A228" s="5"/>
    </row>
    <row r="229" spans="1:1" s="7" customFormat="1" x14ac:dyDescent="0.25">
      <c r="A229" s="5"/>
    </row>
    <row r="230" spans="1:1" s="7" customFormat="1" x14ac:dyDescent="0.25">
      <c r="A230" s="5"/>
    </row>
    <row r="231" spans="1:1" s="7" customFormat="1" x14ac:dyDescent="0.25">
      <c r="A231" s="5"/>
    </row>
    <row r="232" spans="1:1" s="7" customFormat="1" x14ac:dyDescent="0.25">
      <c r="A232" s="5"/>
    </row>
    <row r="233" spans="1:1" s="7" customFormat="1" x14ac:dyDescent="0.25">
      <c r="A233" s="5"/>
    </row>
    <row r="234" spans="1:1" s="7" customFormat="1" x14ac:dyDescent="0.25">
      <c r="A234" s="5"/>
    </row>
    <row r="235" spans="1:1" s="7" customFormat="1" x14ac:dyDescent="0.25">
      <c r="A235" s="5"/>
    </row>
    <row r="236" spans="1:1" s="7" customFormat="1" x14ac:dyDescent="0.25">
      <c r="A236" s="5"/>
    </row>
    <row r="237" spans="1:1" s="7" customFormat="1" x14ac:dyDescent="0.25">
      <c r="A237" s="5"/>
    </row>
    <row r="238" spans="1:1" s="7" customFormat="1" x14ac:dyDescent="0.25">
      <c r="A238" s="5"/>
    </row>
    <row r="239" spans="1:1" s="7" customFormat="1" x14ac:dyDescent="0.25">
      <c r="A239" s="5"/>
    </row>
    <row r="240" spans="1:1" s="7" customFormat="1" x14ac:dyDescent="0.25">
      <c r="A240" s="5"/>
    </row>
    <row r="241" spans="1:1" s="7" customFormat="1" x14ac:dyDescent="0.25">
      <c r="A241" s="5"/>
    </row>
    <row r="242" spans="1:1" s="7" customFormat="1" x14ac:dyDescent="0.25">
      <c r="A242" s="5"/>
    </row>
    <row r="243" spans="1:1" s="7" customFormat="1" x14ac:dyDescent="0.25">
      <c r="A243" s="5"/>
    </row>
    <row r="244" spans="1:1" s="7" customFormat="1" x14ac:dyDescent="0.25">
      <c r="A244" s="5"/>
    </row>
    <row r="245" spans="1:1" s="7" customFormat="1" x14ac:dyDescent="0.25">
      <c r="A245" s="5"/>
    </row>
    <row r="246" spans="1:1" s="7" customFormat="1" x14ac:dyDescent="0.25">
      <c r="A246" s="5"/>
    </row>
    <row r="247" spans="1:1" s="7" customFormat="1" x14ac:dyDescent="0.25">
      <c r="A247" s="5"/>
    </row>
    <row r="248" spans="1:1" s="7" customFormat="1" x14ac:dyDescent="0.25">
      <c r="A248" s="5"/>
    </row>
    <row r="249" spans="1:1" s="7" customFormat="1" x14ac:dyDescent="0.25">
      <c r="A249" s="5"/>
    </row>
    <row r="250" spans="1:1" s="7" customFormat="1" x14ac:dyDescent="0.25">
      <c r="A250" s="5"/>
    </row>
    <row r="251" spans="1:1" s="7" customFormat="1" x14ac:dyDescent="0.25">
      <c r="A251" s="5"/>
    </row>
    <row r="252" spans="1:1" s="7" customFormat="1" x14ac:dyDescent="0.25">
      <c r="A252" s="5"/>
    </row>
    <row r="253" spans="1:1" s="7" customFormat="1" x14ac:dyDescent="0.25">
      <c r="A253" s="5"/>
    </row>
    <row r="254" spans="1:1" s="7" customFormat="1" x14ac:dyDescent="0.25">
      <c r="A254" s="5"/>
    </row>
    <row r="255" spans="1:1" s="7" customFormat="1" x14ac:dyDescent="0.25">
      <c r="A255" s="5"/>
    </row>
    <row r="256" spans="1:1" s="7" customFormat="1" x14ac:dyDescent="0.25">
      <c r="A256" s="5"/>
    </row>
    <row r="257" spans="1:1" s="7" customFormat="1" x14ac:dyDescent="0.25">
      <c r="A257" s="5"/>
    </row>
    <row r="258" spans="1:1" s="7" customFormat="1" x14ac:dyDescent="0.25">
      <c r="A258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Marcelo Henrique</cp:lastModifiedBy>
  <dcterms:created xsi:type="dcterms:W3CDTF">2024-12-19T13:13:10Z</dcterms:created>
  <dcterms:modified xsi:type="dcterms:W3CDTF">2026-09-10T18:45:13Z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